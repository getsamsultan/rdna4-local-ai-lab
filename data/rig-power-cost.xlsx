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easurements" sheetId="2" state="visible" r:id="rId4"/>
    <sheet name="Cost per million toke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<sst xmlns="http://schemas.openxmlformats.org/spreadsheetml/2006/main" count="82" uniqueCount="76">
  <si>
    <t xml:space="preserve">Assumptions (yellow cells = edit these)</t>
  </si>
  <si>
    <t xml:space="preserve">Assumption</t>
  </si>
  <si>
    <t xml:space="preserve">Value</t>
  </si>
  <si>
    <t xml:space="preserve">Source / note</t>
  </si>
  <si>
    <t xml:space="preserve">Electricity price incl. GST (A$/kWh)</t>
  </si>
  <si>
    <t xml:space="preserve">Electricity bill: rate from 29 Jun 2026, $0.2922 excl. GST × 1.1. Supply charge and rebate excluded.</t>
  </si>
  <si>
    <t xml:space="preserve">AUD per 1 USD</t>
  </si>
  <si>
    <t xml:space="preserve">Approximate. Check the actual rate on the day you post.</t>
  </si>
  <si>
    <t xml:space="preserve">Same model rented: output (US$/M tokens)</t>
  </si>
  <si>
    <t xml:space="preserve">Qwen3-Coder-Next, cheapest provider (Parasail) on OpenRouter, per aireleasetracker.com, Oct 2026.</t>
  </si>
  <si>
    <t xml:space="preserve">Same model rented: input (US$/M tokens)</t>
  </si>
  <si>
    <t xml:space="preserve">Same source and provider as above.</t>
  </si>
  <si>
    <t xml:space="preserve">Claude Haiku 4.5: output (US$/M tokens)</t>
  </si>
  <si>
    <t xml:space="preserve">Same class on SWE-bench Verified (73.3% vs 70.6%), per aireleasetracker.com.</t>
  </si>
  <si>
    <t xml:space="preserve">Claude Haiku 4.5: input (US$/M tokens)</t>
  </si>
  <si>
    <t xml:space="preserve">Same source.</t>
  </si>
  <si>
    <t xml:space="preserve">Tokens per unit</t>
  </si>
  <si>
    <t xml:space="preserve">All costs are per million tokens.</t>
  </si>
  <si>
    <t xml:space="preserve">Idle, ODS stopped (W)</t>
  </si>
  <si>
    <t xml:space="preserve">Wall meter, most consistent reading, 18 Oct 2026.</t>
  </si>
  <si>
    <t xml:space="preserve">Household average (kWh/day)</t>
  </si>
  <si>
    <t xml:space="preserve">Electricity bill, 26 May – 20 Aug 2026.</t>
  </si>
  <si>
    <t xml:space="preserve">Measurements: Qwen3-Coder-Next 80B Q6_K, 3× R9700, llama.cpp b8763, ROCm 7.2 (18 Oct 2026)</t>
  </si>
  <si>
    <t xml:space="preserve">Test</t>
  </si>
  <si>
    <t xml:space="preserve">What it measures</t>
  </si>
  <si>
    <t xml:space="preserve">Speed (tokens/s)</t>
  </si>
  <si>
    <t xml:space="preserve">Watts low</t>
  </si>
  <si>
    <t xml:space="preserve">Watts high</t>
  </si>
  <si>
    <t xml:space="preserve">Watts used</t>
  </si>
  <si>
    <t xml:space="preserve">Runs</t>
  </si>
  <si>
    <t xml:space="preserve">Note</t>
  </si>
  <si>
    <t xml:space="preserve">Idle (ODS stopped)</t>
  </si>
  <si>
    <t xml:space="preserve">Rig on, doing nothing</t>
  </si>
  <si>
    <t xml:space="preserve">Most consistent reading over 2 min</t>
  </si>
  <si>
    <t xml:space="preserve">Generation only (llama-bench tg2048)</t>
  </si>
  <si>
    <t xml:space="preserve">Writing tokens</t>
  </si>
  <si>
    <t xml:space="preserve">±0.01 t/s; steady watts after the ~30 s load</t>
  </si>
  <si>
    <t xml:space="preserve">Long prompts only (llama-bench pp4096)</t>
  </si>
  <si>
    <t xml:space="preserve">Reading tokens</t>
  </si>
  <si>
    <t xml:space="preserve">Two sets of 10 runs: 2372.66 and 2359.71 t/s; ~40 s, very spiky</t>
  </si>
  <si>
    <t xml:space="preserve">Through ODS / Lemonade (real prompt)</t>
  </si>
  <si>
    <t xml:space="preserve">Writing tokens, real use</t>
  </si>
  <si>
    <t xml:space="preserve">1,500-token coding prompt; peak 382 W; rerun ×3 still to do</t>
  </si>
  <si>
    <t xml:space="preserve">Peak at the wall (any test)</t>
  </si>
  <si>
    <t xml:space="preserve">W, during long-prompt processing</t>
  </si>
  <si>
    <t xml:space="preserve">Wall meter: Powertech MS6108 (±1.5%), rig only, readings by Sam from video.</t>
  </si>
  <si>
    <t xml:space="preserve">Cost per million tokens: electricity only, one request at a time</t>
  </si>
  <si>
    <t xml:space="preserve">Setup</t>
  </si>
  <si>
    <t xml:space="preserve">Watts</t>
  </si>
  <si>
    <t xml:space="preserve">Hours per million</t>
  </si>
  <si>
    <t xml:space="preserve">kWh per million</t>
  </si>
  <si>
    <t xml:space="preserve">A$ per million</t>
  </si>
  <si>
    <t xml:space="preserve">US$ per million</t>
  </si>
  <si>
    <t xml:space="preserve">WRITING (output tokens)</t>
  </si>
  <si>
    <t xml:space="preserve">My rig, raw engine</t>
  </si>
  <si>
    <t xml:space="preserve">llama-bench, steady 425–440 W</t>
  </si>
  <si>
    <t xml:space="preserve">My rig, through ODS</t>
  </si>
  <si>
    <t xml:space="preserve">Same model, same cards: 2.6× slower</t>
  </si>
  <si>
    <t xml:space="preserve">Same model, rented</t>
  </si>
  <si>
    <t xml:space="preserve">Cheapest provider</t>
  </si>
  <si>
    <t xml:space="preserve">Claude Haiku 4.5</t>
  </si>
  <si>
    <t xml:space="preserve">Same class on coding benchmark</t>
  </si>
  <si>
    <t xml:space="preserve">READING (input tokens)</t>
  </si>
  <si>
    <t xml:space="preserve">llama-bench pp4096, 710–886 W</t>
  </si>
  <si>
    <t xml:space="preserve">Key ratios</t>
  </si>
  <si>
    <t xml:space="preserve">Raw engine vs ODS speed</t>
  </si>
  <si>
    <t xml:space="preserve">faster without ODS</t>
  </si>
  <si>
    <t xml:space="preserve">Renting vs my rig, writing</t>
  </si>
  <si>
    <t xml:space="preserve">renting costs this many times my electricity</t>
  </si>
  <si>
    <t xml:space="preserve">Haiku vs my rig, writing</t>
  </si>
  <si>
    <t xml:space="preserve">Renting vs my rig, reading</t>
  </si>
  <si>
    <t xml:space="preserve">Haiku vs my rig, reading</t>
  </si>
  <si>
    <t xml:space="preserve">Idle cost if left on 24/7 (ODS stopped)</t>
  </si>
  <si>
    <t xml:space="preserve">per month</t>
  </si>
  <si>
    <t xml:space="preserve">Idle share of household power</t>
  </si>
  <si>
    <t xml:space="preserve">Electricity only. Hardware cost is not included, and once it is, the cloud wins. One request at a time; cloud providers batch many users per GPU.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</si>
</sst>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0.0000"/>
    <numFmt numFmtId="166" formatCode="0.00"/>
    <numFmt numFmtId="167" formatCode="\$0.00"/>
    <numFmt numFmtId="168" formatCode="#,##0"/>
    <numFmt numFmtId="169" formatCode="0.0"/>
    <numFmt numFmtId="170" formatCode="#,##0.00"/>
    <numFmt numFmtId="171" formatCode="#,##0.0"/>
    <numFmt numFmtId="172" formatCode="0"/>
    <numFmt numFmtId="173" formatCode="0.000"/>
    <numFmt numFmtId="174" formatCode="&quot;A$&quot;0.00"/>
    <numFmt numFmtId="175" formatCode="&quot;US$&quot;0.00"/>
    <numFmt numFmtId="176" formatCode="0.0\×"/>
    <numFmt numFmtId="177" formatCode="&quot;A$&quot;0"/>
    <numFmt numFmtId="178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6B72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95"/>
  </cols>
  <sheetData>
    <row r="1" customFormat="false" ht="15.75" hidden="false" customHeight="true" outlineLevel="0" collapsed="false">
      <c r="A1" s="2" t="s">
        <v>0</v>
      </c>
    </row>
    <row r="3" customFormat="false" ht="31.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5" t="n">
        <v>0.3214</v>
      </c>
      <c r="C4" s="6" t="s">
        <v>5</v>
      </c>
    </row>
    <row r="5" customFormat="false" ht="15" hidden="false" customHeight="true" outlineLevel="0" collapsed="false">
      <c r="A5" s="4" t="s">
        <v>6</v>
      </c>
      <c r="B5" s="7" t="n">
        <v>1.5</v>
      </c>
      <c r="C5" s="6" t="s">
        <v>7</v>
      </c>
    </row>
    <row r="6" customFormat="false" ht="15" hidden="false" customHeight="true" outlineLevel="0" collapsed="false">
      <c r="A6" s="4" t="s">
        <v>8</v>
      </c>
      <c r="B6" s="8" t="n">
        <v>0.8</v>
      </c>
      <c r="C6" s="6" t="s">
        <v>9</v>
      </c>
    </row>
    <row r="7" customFormat="false" ht="15" hidden="false" customHeight="true" outlineLevel="0" collapsed="false">
      <c r="A7" s="4" t="s">
        <v>10</v>
      </c>
      <c r="B7" s="8" t="n">
        <v>0.12</v>
      </c>
      <c r="C7" s="6" t="s">
        <v>11</v>
      </c>
    </row>
    <row r="8" customFormat="false" ht="15" hidden="false" customHeight="true" outlineLevel="0" collapsed="false">
      <c r="A8" s="4" t="s">
        <v>12</v>
      </c>
      <c r="B8" s="8" t="n">
        <v>5</v>
      </c>
      <c r="C8" s="6" t="s">
        <v>13</v>
      </c>
    </row>
    <row r="9" customFormat="false" ht="15" hidden="false" customHeight="true" outlineLevel="0" collapsed="false">
      <c r="A9" s="4" t="s">
        <v>14</v>
      </c>
      <c r="B9" s="8" t="n">
        <v>1</v>
      </c>
      <c r="C9" s="6" t="s">
        <v>15</v>
      </c>
    </row>
    <row r="10" customFormat="false" ht="15" hidden="false" customHeight="true" outlineLevel="0" collapsed="false">
      <c r="A10" s="4" t="s">
        <v>16</v>
      </c>
      <c r="B10" s="9" t="n">
        <v>1000000</v>
      </c>
      <c r="C10" s="6" t="s">
        <v>17</v>
      </c>
    </row>
    <row r="11" customFormat="false" ht="15" hidden="false" customHeight="true" outlineLevel="0" collapsed="false">
      <c r="A11" s="4" t="s">
        <v>18</v>
      </c>
      <c r="B11" s="10" t="n">
        <v>80.5</v>
      </c>
      <c r="C11" s="6" t="s">
        <v>19</v>
      </c>
    </row>
    <row r="12" customFormat="false" ht="15" hidden="false" customHeight="true" outlineLevel="0" collapsed="false">
      <c r="A12" s="4" t="s">
        <v>20</v>
      </c>
      <c r="B12" s="7" t="n">
        <v>12.72</v>
      </c>
      <c r="C12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1"/>
    <col collapsed="false" customWidth="true" hidden="false" outlineLevel="0" max="7" min="7" style="1" width="7"/>
    <col collapsed="false" customWidth="true" hidden="false" outlineLevel="0" max="8" min="8" style="1" width="60"/>
  </cols>
  <sheetData>
    <row r="1" customFormat="false" ht="15.75" hidden="false" customHeight="true" outlineLevel="0" collapsed="false">
      <c r="A1" s="2" t="s">
        <v>22</v>
      </c>
    </row>
    <row r="3" customFormat="false" ht="31.5" hidden="false" customHeight="tru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</row>
    <row r="4" customFormat="false" ht="15" hidden="false" customHeight="true" outlineLevel="0" collapsed="false">
      <c r="A4" s="11" t="s">
        <v>31</v>
      </c>
      <c r="B4" s="11" t="s">
        <v>32</v>
      </c>
      <c r="C4" s="12"/>
      <c r="D4" s="13" t="n">
        <v>80.5</v>
      </c>
      <c r="E4" s="13" t="n">
        <v>80.5</v>
      </c>
      <c r="F4" s="14" t="n">
        <f aca="false">AVERAGE(D4:E4)</f>
        <v>80.5</v>
      </c>
      <c r="G4" s="11"/>
      <c r="H4" s="15" t="s">
        <v>33</v>
      </c>
    </row>
    <row r="5" customFormat="false" ht="15" hidden="false" customHeight="true" outlineLevel="0" collapsed="false">
      <c r="A5" s="11" t="s">
        <v>34</v>
      </c>
      <c r="B5" s="11" t="s">
        <v>35</v>
      </c>
      <c r="C5" s="16" t="n">
        <v>54.65</v>
      </c>
      <c r="D5" s="13" t="n">
        <v>425</v>
      </c>
      <c r="E5" s="13" t="n">
        <v>440</v>
      </c>
      <c r="F5" s="14" t="n">
        <f aca="false">AVERAGE(D5:E5)</f>
        <v>432.5</v>
      </c>
      <c r="G5" s="13" t="n">
        <v>5</v>
      </c>
      <c r="H5" s="15" t="s">
        <v>36</v>
      </c>
    </row>
    <row r="6" customFormat="false" ht="15" hidden="false" customHeight="true" outlineLevel="0" collapsed="false">
      <c r="A6" s="11" t="s">
        <v>37</v>
      </c>
      <c r="B6" s="11" t="s">
        <v>38</v>
      </c>
      <c r="C6" s="17" t="n">
        <f aca="false">AVERAGE(2372.66,2359.71)</f>
        <v>2366.185</v>
      </c>
      <c r="D6" s="13" t="n">
        <v>710</v>
      </c>
      <c r="E6" s="13" t="n">
        <v>886</v>
      </c>
      <c r="F6" s="14" t="n">
        <f aca="false">AVERAGE(D6:E6)</f>
        <v>798</v>
      </c>
      <c r="G6" s="13" t="n">
        <v>20</v>
      </c>
      <c r="H6" s="15" t="s">
        <v>39</v>
      </c>
    </row>
    <row r="7" customFormat="false" ht="15" hidden="false" customHeight="true" outlineLevel="0" collapsed="false">
      <c r="A7" s="11" t="s">
        <v>40</v>
      </c>
      <c r="B7" s="11" t="s">
        <v>41</v>
      </c>
      <c r="C7" s="16" t="n">
        <v>21.02</v>
      </c>
      <c r="D7" s="13" t="n">
        <v>267</v>
      </c>
      <c r="E7" s="13" t="n">
        <v>267</v>
      </c>
      <c r="F7" s="14" t="n">
        <f aca="false">AVERAGE(D7:E7)</f>
        <v>267</v>
      </c>
      <c r="G7" s="13" t="n">
        <v>1</v>
      </c>
      <c r="H7" s="15" t="s">
        <v>42</v>
      </c>
    </row>
    <row r="9" customFormat="false" ht="15" hidden="false" customHeight="true" outlineLevel="0" collapsed="false">
      <c r="A9" s="18" t="s">
        <v>43</v>
      </c>
      <c r="B9" s="19" t="n">
        <v>886</v>
      </c>
      <c r="C9" s="6" t="s">
        <v>44</v>
      </c>
    </row>
    <row r="10" customFormat="false" ht="15" hidden="false" customHeight="true" outlineLevel="0" collapsed="false">
      <c r="A10" s="2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5" min="4" style="1" width="12"/>
    <col collapsed="false" customWidth="true" hidden="false" outlineLevel="0" max="7" min="6" style="1" width="13"/>
    <col collapsed="false" customWidth="true" hidden="false" outlineLevel="0" max="8" min="8" style="1" width="42"/>
  </cols>
  <sheetData>
    <row r="1" customFormat="false" ht="15.75" hidden="false" customHeight="true" outlineLevel="0" collapsed="false">
      <c r="A1" s="2" t="s">
        <v>46</v>
      </c>
    </row>
    <row r="3" customFormat="false" ht="31.5" hidden="false" customHeight="true" outlineLevel="0" collapsed="false">
      <c r="A3" s="3" t="s">
        <v>47</v>
      </c>
      <c r="B3" s="3" t="s">
        <v>25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30</v>
      </c>
    </row>
    <row r="4" customFormat="false" ht="15" hidden="false" customHeight="true" outlineLevel="0" collapsed="false">
      <c r="A4" s="18" t="s">
        <v>53</v>
      </c>
    </row>
    <row r="5" customFormat="false" ht="15" hidden="false" customHeight="true" outlineLevel="0" collapsed="false">
      <c r="A5" s="11" t="s">
        <v>54</v>
      </c>
      <c r="B5" s="21" t="n">
        <f aca="false">Measurements!C5</f>
        <v>54.65</v>
      </c>
      <c r="C5" s="22" t="n">
        <f aca="false">Measurements!F5</f>
        <v>432.5</v>
      </c>
      <c r="D5" s="23" t="n">
        <f aca="false">IFERROR(Assumptions!$B$10/B5/3600,"")</f>
        <v>5.08285046253939</v>
      </c>
      <c r="E5" s="24" t="n">
        <f aca="false">IFERROR(C5/1000*D5,"")</f>
        <v>2.19833282504829</v>
      </c>
      <c r="F5" s="25" t="n">
        <f aca="false">IFERROR(E5*Assumptions!$B$4,"")</f>
        <v>0.706544169970519</v>
      </c>
      <c r="G5" s="26" t="n">
        <f aca="false">IFERROR(F5/Assumptions!$B$5,"")</f>
        <v>0.471029446647013</v>
      </c>
      <c r="H5" s="15" t="s">
        <v>55</v>
      </c>
    </row>
    <row r="6" customFormat="false" ht="15" hidden="false" customHeight="true" outlineLevel="0" collapsed="false">
      <c r="A6" s="11" t="s">
        <v>56</v>
      </c>
      <c r="B6" s="21" t="n">
        <f aca="false">Measurements!C7</f>
        <v>21.02</v>
      </c>
      <c r="C6" s="22" t="n">
        <f aca="false">Measurements!F7</f>
        <v>267</v>
      </c>
      <c r="D6" s="23" t="n">
        <f aca="false">IFERROR(Assumptions!$B$10/B6/3600,"")</f>
        <v>13.2149275821969</v>
      </c>
      <c r="E6" s="24" t="n">
        <f aca="false">IFERROR(C6/1000*D6,"")</f>
        <v>3.52838566444656</v>
      </c>
      <c r="F6" s="25" t="n">
        <f aca="false">IFERROR(E6*Assumptions!$B$4,"")</f>
        <v>1.13402315255312</v>
      </c>
      <c r="G6" s="26" t="n">
        <f aca="false">IFERROR(F6/Assumptions!$B$5,"")</f>
        <v>0.756015435035416</v>
      </c>
      <c r="H6" s="15" t="s">
        <v>57</v>
      </c>
    </row>
    <row r="7" customFormat="false" ht="15" hidden="false" customHeight="true" outlineLevel="0" collapsed="false">
      <c r="A7" s="11" t="s">
        <v>58</v>
      </c>
      <c r="B7" s="21"/>
      <c r="C7" s="22"/>
      <c r="D7" s="23"/>
      <c r="E7" s="24"/>
      <c r="F7" s="25" t="n">
        <f aca="false">G7*Assumptions!$B$5</f>
        <v>1.2</v>
      </c>
      <c r="G7" s="26" t="n">
        <f aca="false">Assumptions!B6</f>
        <v>0.8</v>
      </c>
      <c r="H7" s="15" t="s">
        <v>59</v>
      </c>
    </row>
    <row r="8" customFormat="false" ht="15" hidden="false" customHeight="true" outlineLevel="0" collapsed="false">
      <c r="A8" s="11" t="s">
        <v>60</v>
      </c>
      <c r="B8" s="21"/>
      <c r="C8" s="22"/>
      <c r="D8" s="23"/>
      <c r="E8" s="24"/>
      <c r="F8" s="25" t="n">
        <f aca="false">G8*Assumptions!$B$5</f>
        <v>7.5</v>
      </c>
      <c r="G8" s="26" t="n">
        <f aca="false">Assumptions!B8</f>
        <v>5</v>
      </c>
      <c r="H8" s="15" t="s">
        <v>61</v>
      </c>
    </row>
    <row r="10" customFormat="false" ht="15" hidden="false" customHeight="true" outlineLevel="0" collapsed="false">
      <c r="A10" s="18" t="s">
        <v>62</v>
      </c>
    </row>
    <row r="11" customFormat="false" ht="15" hidden="false" customHeight="true" outlineLevel="0" collapsed="false">
      <c r="A11" s="11" t="s">
        <v>54</v>
      </c>
      <c r="B11" s="21" t="n">
        <f aca="false">Measurements!C6</f>
        <v>2366.185</v>
      </c>
      <c r="C11" s="22" t="n">
        <f aca="false">Measurements!F6</f>
        <v>798</v>
      </c>
      <c r="D11" s="23" t="n">
        <f aca="false">IFERROR(Assumptions!$B$10/B11/3600,"")</f>
        <v>0.117394784337564</v>
      </c>
      <c r="E11" s="24" t="n">
        <f aca="false">IFERROR(C11/1000*D11,"")</f>
        <v>0.0936810379013757</v>
      </c>
      <c r="F11" s="25" t="n">
        <f aca="false">IFERROR(E11*Assumptions!$B$4,"")</f>
        <v>0.0301090855815022</v>
      </c>
      <c r="G11" s="26" t="n">
        <f aca="false">IFERROR(F11/Assumptions!$B$5,"")</f>
        <v>0.0200727237210014</v>
      </c>
      <c r="H11" s="15" t="s">
        <v>63</v>
      </c>
    </row>
    <row r="12" customFormat="false" ht="15" hidden="false" customHeight="true" outlineLevel="0" collapsed="false">
      <c r="A12" s="11" t="s">
        <v>58</v>
      </c>
      <c r="B12" s="21"/>
      <c r="C12" s="22"/>
      <c r="D12" s="23"/>
      <c r="E12" s="24"/>
      <c r="F12" s="25" t="n">
        <f aca="false">G12*Assumptions!$B$5</f>
        <v>0.18</v>
      </c>
      <c r="G12" s="26" t="n">
        <f aca="false">Assumptions!B7</f>
        <v>0.12</v>
      </c>
      <c r="H12" s="15" t="s">
        <v>59</v>
      </c>
    </row>
    <row r="13" customFormat="false" ht="15" hidden="false" customHeight="true" outlineLevel="0" collapsed="false">
      <c r="A13" s="11" t="s">
        <v>60</v>
      </c>
      <c r="B13" s="21"/>
      <c r="C13" s="22"/>
      <c r="D13" s="23"/>
      <c r="E13" s="24"/>
      <c r="F13" s="25" t="n">
        <f aca="false">G13*Assumptions!$B$5</f>
        <v>1.5</v>
      </c>
      <c r="G13" s="26" t="n">
        <f aca="false">Assumptions!B9</f>
        <v>1</v>
      </c>
      <c r="H13" s="15"/>
    </row>
    <row r="15" customFormat="false" ht="15" hidden="false" customHeight="true" outlineLevel="0" collapsed="false">
      <c r="A15" s="18" t="s">
        <v>64</v>
      </c>
    </row>
    <row r="16" customFormat="false" ht="15" hidden="false" customHeight="true" outlineLevel="0" collapsed="false">
      <c r="A16" s="4" t="s">
        <v>65</v>
      </c>
      <c r="B16" s="27" t="n">
        <f aca="false">B5/B6</f>
        <v>2.59990485252141</v>
      </c>
      <c r="C16" s="6" t="s">
        <v>66</v>
      </c>
    </row>
    <row r="17" customFormat="false" ht="15" hidden="false" customHeight="true" outlineLevel="0" collapsed="false">
      <c r="A17" s="4" t="s">
        <v>67</v>
      </c>
      <c r="B17" s="27" t="n">
        <f aca="false">F7/F5</f>
        <v>1.6984076169648</v>
      </c>
      <c r="C17" s="6" t="s">
        <v>68</v>
      </c>
    </row>
    <row r="18" customFormat="false" ht="15" hidden="false" customHeight="true" outlineLevel="0" collapsed="false">
      <c r="A18" s="4" t="s">
        <v>69</v>
      </c>
      <c r="B18" s="27" t="n">
        <f aca="false">F8/F5</f>
        <v>10.61504760603</v>
      </c>
      <c r="C18" s="6"/>
    </row>
    <row r="19" customFormat="false" ht="15" hidden="false" customHeight="true" outlineLevel="0" collapsed="false">
      <c r="A19" s="4" t="s">
        <v>70</v>
      </c>
      <c r="B19" s="27" t="n">
        <f aca="false">F12/F11</f>
        <v>5.978261927376</v>
      </c>
      <c r="C19" s="6"/>
    </row>
    <row r="20" customFormat="false" ht="15" hidden="false" customHeight="true" outlineLevel="0" collapsed="false">
      <c r="A20" s="4" t="s">
        <v>71</v>
      </c>
      <c r="B20" s="27" t="n">
        <f aca="false">F13/F11</f>
        <v>49.8188493948</v>
      </c>
      <c r="C20" s="6"/>
    </row>
    <row r="22" customFormat="false" ht="15" hidden="false" customHeight="true" outlineLevel="0" collapsed="false">
      <c r="A22" s="18" t="s">
        <v>72</v>
      </c>
      <c r="B22" s="28" t="n">
        <f aca="false">Assumptions!B11*24/1000*Assumptions!B4*30</f>
        <v>18.628344</v>
      </c>
      <c r="C22" s="6" t="s">
        <v>73</v>
      </c>
    </row>
    <row r="23" customFormat="false" ht="15" hidden="false" customHeight="true" outlineLevel="0" collapsed="false">
      <c r="A23" s="18" t="s">
        <v>74</v>
      </c>
      <c r="B23" s="29" t="n">
        <f aca="false">Assumptions!B11*24/1000/Assumptions!B12</f>
        <v>0.15188679245283</v>
      </c>
    </row>
    <row r="25" customFormat="false" ht="15" hidden="false" customHeight="true" outlineLevel="0" collapsed="false">
      <c r="A25" s="2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2026-10-18T01:09:50Z</dcterms:created>
  <dc:creator>openpyxl</dc:creator>
  <dc:description/>
  <dc:language>en-US</dc:language>
  <cp:lastModifiedBy/>
  <dcterms:modified xsi:type="dcterms:W3CDTF">2026-10-18T03:37:13Z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